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Q:\AH\Core-Facility\NCCT\Allgemein\Projekte\2024\24070_1422_ultra-long\4_Analyse\"/>
    </mc:Choice>
  </mc:AlternateContent>
  <xr:revisionPtr revIDLastSave="0" documentId="13_ncr:1_{6D8E2430-3F59-4FE6-AC7E-45B88B2D69D4}" xr6:coauthVersionLast="36" xr6:coauthVersionMax="36" xr10:uidLastSave="{00000000-0000-0000-0000-000000000000}"/>
  <bookViews>
    <workbookView xWindow="0" yWindow="0" windowWidth="28800" windowHeight="11925" xr2:uid="{FE58374A-46C6-4B04-B342-EB72AB4169D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K3" i="1"/>
  <c r="J4" i="1"/>
  <c r="J3" i="1"/>
</calcChain>
</file>

<file path=xl/sharedStrings.xml><?xml version="1.0" encoding="utf-8"?>
<sst xmlns="http://schemas.openxmlformats.org/spreadsheetml/2006/main" count="32" uniqueCount="31">
  <si>
    <t>Gb &gt;100 kb</t>
  </si>
  <si>
    <t>Gb&gt; 200 kb</t>
  </si>
  <si>
    <t>Reads &gt;1 Mb</t>
  </si>
  <si>
    <t xml:space="preserve"> Flow cell </t>
  </si>
  <si>
    <t>Longest Read (Mb)</t>
  </si>
  <si>
    <t>Read Length N50 (kb)</t>
  </si>
  <si>
    <t>Number of loadings</t>
  </si>
  <si>
    <t>Interval time loadings</t>
  </si>
  <si>
    <t>intern name</t>
  </si>
  <si>
    <t>external  name</t>
  </si>
  <si>
    <t>original gDNA (200-200.000 bp) Femto</t>
  </si>
  <si>
    <t>24070LRa003</t>
  </si>
  <si>
    <t>24070LRa010</t>
  </si>
  <si>
    <t>Run time (h)</t>
  </si>
  <si>
    <t>0;20;24;24;24</t>
  </si>
  <si>
    <t>PBA36199</t>
  </si>
  <si>
    <t>PBA32113</t>
  </si>
  <si>
    <t>Volumen Library [µl]</t>
  </si>
  <si>
    <t>Konz. Lib. [ng/µL]</t>
  </si>
  <si>
    <t>Recovery (%)</t>
  </si>
  <si>
    <t>Library total ng</t>
  </si>
  <si>
    <t>Input Library (ng)</t>
  </si>
  <si>
    <t>Monarch UHMW</t>
  </si>
  <si>
    <t>Innuscreen SE UHMW</t>
  </si>
  <si>
    <t>Isolation method</t>
  </si>
  <si>
    <t>manual</t>
  </si>
  <si>
    <t>semi-automated</t>
  </si>
  <si>
    <t>isolation type</t>
  </si>
  <si>
    <t>Sample  (mL blood)</t>
  </si>
  <si>
    <t>Library size (200-200.000 bp) Femto</t>
  </si>
  <si>
    <t xml:space="preserve"> Yield (Gb) basecalled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</si>
</sst>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C49A-6D78-464C-8A22-548CCD3F1049}">
  <dimension ref="A1:V4"/>
  <sheetViews>
    <sheetView tabSelected="1" workbookViewId="0">
      <selection activeCell="S8" sqref="S8"/>
    </sheetView>
  </sheetViews>
  <sheetFormatPr baseColWidth="10" defaultRowHeight="15" x14ac:dyDescent="0.25"/>
  <cols>
    <col min="1" max="1" width="11.5703125" customWidth="1"/>
    <col min="2" max="2" width="10.140625" customWidth="1"/>
    <col min="3" max="3" width="18.140625" customWidth="1"/>
    <col min="4" max="4" width="15.7109375" customWidth="1"/>
    <col min="5" max="5" width="8.140625" customWidth="1"/>
    <col min="6" max="6" width="15.85546875" customWidth="1"/>
    <col min="7" max="7" width="10.85546875" customWidth="1"/>
    <col min="8" max="8" width="9.7109375" customWidth="1"/>
    <col min="9" max="9" width="10.85546875" customWidth="1"/>
    <col min="10" max="10" width="9.7109375" customWidth="1"/>
    <col min="11" max="11" width="9.5703125" customWidth="1"/>
    <col min="12" max="12" width="15.5703125" customWidth="1"/>
    <col min="13" max="13" width="11.140625" customWidth="1"/>
    <col min="14" max="14" width="8.42578125" customWidth="1"/>
    <col min="15" max="15" width="10.5703125" customWidth="1"/>
    <col min="16" max="16" width="12.28515625" customWidth="1"/>
    <col min="17" max="17" width="12.7109375" customWidth="1"/>
    <col min="18" max="18" width="10" customWidth="1"/>
    <col min="21" max="21" width="12.7109375" customWidth="1"/>
  </cols>
  <sheetData>
    <row r="1" spans="1:22" ht="3.75" customHeight="1" x14ac:dyDescent="0.25">
      <c r="E1" s="3"/>
    </row>
    <row r="2" spans="1:22" s="2" customFormat="1" ht="51.75" customHeight="1" x14ac:dyDescent="0.25">
      <c r="A2" s="3" t="s">
        <v>8</v>
      </c>
      <c r="B2" s="3" t="s">
        <v>9</v>
      </c>
      <c r="C2" s="3" t="s">
        <v>24</v>
      </c>
      <c r="D2" s="3" t="s">
        <v>27</v>
      </c>
      <c r="E2" s="3" t="s">
        <v>28</v>
      </c>
      <c r="F2" s="3" t="s">
        <v>10</v>
      </c>
      <c r="G2" s="3" t="s">
        <v>21</v>
      </c>
      <c r="H2" s="3" t="s">
        <v>17</v>
      </c>
      <c r="I2" s="3" t="s">
        <v>18</v>
      </c>
      <c r="J2" s="3" t="s">
        <v>20</v>
      </c>
      <c r="K2" s="3" t="s">
        <v>19</v>
      </c>
      <c r="L2" s="3" t="s">
        <v>29</v>
      </c>
      <c r="M2" s="3" t="s">
        <v>3</v>
      </c>
      <c r="N2" s="3" t="s">
        <v>13</v>
      </c>
      <c r="O2" s="3" t="s">
        <v>6</v>
      </c>
      <c r="P2" s="3" t="s">
        <v>7</v>
      </c>
      <c r="Q2" s="3" t="s">
        <v>4</v>
      </c>
      <c r="R2" s="3" t="s">
        <v>5</v>
      </c>
      <c r="S2" s="3" t="s">
        <v>0</v>
      </c>
      <c r="T2" s="3" t="s">
        <v>1</v>
      </c>
      <c r="U2" s="2" t="s">
        <v>2</v>
      </c>
      <c r="V2" s="3" t="s">
        <v>30</v>
      </c>
    </row>
    <row r="3" spans="1:22" x14ac:dyDescent="0.25">
      <c r="A3" t="s">
        <v>11</v>
      </c>
      <c r="B3">
        <v>2410869</v>
      </c>
      <c r="C3" t="s">
        <v>23</v>
      </c>
      <c r="D3" t="s">
        <v>26</v>
      </c>
      <c r="E3">
        <v>3</v>
      </c>
      <c r="F3" s="1">
        <v>110196</v>
      </c>
      <c r="G3" s="1">
        <v>40000</v>
      </c>
      <c r="H3">
        <v>480</v>
      </c>
      <c r="I3">
        <v>23.7</v>
      </c>
      <c r="J3" s="1">
        <f>H3*I3</f>
        <v>11376</v>
      </c>
      <c r="K3">
        <f>J3/G3*100</f>
        <v>28.439999999999998</v>
      </c>
      <c r="L3" s="1">
        <v>71704</v>
      </c>
      <c r="M3" t="s">
        <v>16</v>
      </c>
      <c r="N3">
        <v>120</v>
      </c>
      <c r="O3">
        <v>5</v>
      </c>
      <c r="P3" t="s">
        <v>14</v>
      </c>
      <c r="R3">
        <v>68</v>
      </c>
      <c r="V3">
        <v>106.87</v>
      </c>
    </row>
    <row r="4" spans="1:22" x14ac:dyDescent="0.25">
      <c r="A4" t="s">
        <v>12</v>
      </c>
      <c r="B4">
        <v>2410869</v>
      </c>
      <c r="C4" t="s">
        <v>22</v>
      </c>
      <c r="D4" t="s">
        <v>25</v>
      </c>
      <c r="E4">
        <v>2</v>
      </c>
      <c r="F4" s="1">
        <v>142214</v>
      </c>
      <c r="G4" s="1">
        <v>40000</v>
      </c>
      <c r="H4">
        <v>480</v>
      </c>
      <c r="I4">
        <v>39.5</v>
      </c>
      <c r="J4" s="1">
        <f>H4*I4</f>
        <v>18960</v>
      </c>
      <c r="K4">
        <f>J4/G4*100</f>
        <v>47.4</v>
      </c>
      <c r="L4" s="1">
        <v>95036</v>
      </c>
      <c r="M4" t="s">
        <v>15</v>
      </c>
      <c r="N4">
        <v>120</v>
      </c>
      <c r="O4">
        <v>5</v>
      </c>
      <c r="P4" t="s">
        <v>14</v>
      </c>
      <c r="R4">
        <v>79</v>
      </c>
      <c r="V4">
        <v>113.38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Universitaetsklinikum Tuebingen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Buena Atienza</dc:creator>
  <cp:lastModifiedBy>Elena Buena Atienza</cp:lastModifiedBy>
  <dcterms:created xsi:type="dcterms:W3CDTF">2024-11-14T16:28:22Z</dcterms:created>
  <dcterms:modified xsi:type="dcterms:W3CDTF">2024-11-18T10:02:17Z</dcterms:modified>
</cp:coreProperties>
</file>